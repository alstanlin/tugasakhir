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stanlin/Desktop/CAT-NET for Arrhythmia Detection/"/>
    </mc:Choice>
  </mc:AlternateContent>
  <xr:revisionPtr revIDLastSave="0" documentId="13_ncr:1_{F0676673-908D-3A44-B00B-61FFCE5F7C7C}" xr6:coauthVersionLast="47" xr6:coauthVersionMax="47" xr10:uidLastSave="{00000000-0000-0000-0000-000000000000}"/>
  <bookViews>
    <workbookView xWindow="-7060" yWindow="1040" windowWidth="18860" windowHeight="16640" xr2:uid="{4B4FCCB9-7C21-5B48-AE0F-120006FC6E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" i="1" l="1"/>
  <c r="L17" i="1"/>
  <c r="L18" i="1"/>
  <c r="L19" i="1"/>
  <c r="L20" i="1"/>
  <c r="L21" i="1"/>
  <c r="L22" i="1"/>
  <c r="L23" i="1"/>
  <c r="L24" i="1"/>
  <c r="L15" i="1"/>
  <c r="K16" i="1"/>
  <c r="K17" i="1"/>
  <c r="K18" i="1"/>
  <c r="K19" i="1"/>
  <c r="K20" i="1"/>
  <c r="K21" i="1"/>
  <c r="K22" i="1"/>
  <c r="K23" i="1"/>
  <c r="K24" i="1"/>
  <c r="K15" i="1"/>
  <c r="L3" i="1"/>
  <c r="L4" i="1"/>
  <c r="L5" i="1"/>
  <c r="L6" i="1"/>
  <c r="L7" i="1"/>
  <c r="L8" i="1"/>
  <c r="L9" i="1"/>
  <c r="L10" i="1"/>
  <c r="L11" i="1"/>
  <c r="L12" i="1"/>
  <c r="L13" i="1"/>
  <c r="L2" i="1"/>
  <c r="K3" i="1"/>
  <c r="K4" i="1"/>
  <c r="K5" i="1"/>
  <c r="K6" i="1"/>
  <c r="K7" i="1"/>
  <c r="K8" i="1"/>
  <c r="K9" i="1"/>
  <c r="K10" i="1"/>
  <c r="K11" i="1"/>
  <c r="K12" i="1"/>
  <c r="K13" i="1"/>
  <c r="K2" i="1"/>
  <c r="E16" i="1"/>
  <c r="D16" i="1"/>
  <c r="C16" i="1"/>
  <c r="B16" i="1"/>
  <c r="A16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4" x14ac:knownFonts="1">
    <font>
      <sz val="12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0" fontId="1" fillId="0" borderId="2" xfId="0" applyNumberFormat="1" applyFont="1" applyBorder="1" applyAlignment="1">
      <alignment horizontal="center" vertical="center" wrapText="1"/>
    </xf>
    <xf numFmtId="10" fontId="1" fillId="0" borderId="4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" fillId="0" borderId="4" xfId="1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CB9D8-F768-C046-B94D-150D35FDCC9F}">
  <dimension ref="A1:L24"/>
  <sheetViews>
    <sheetView tabSelected="1" workbookViewId="0">
      <selection activeCell="N12" sqref="N12"/>
    </sheetView>
  </sheetViews>
  <sheetFormatPr baseColWidth="10" defaultRowHeight="16" x14ac:dyDescent="0.2"/>
  <sheetData>
    <row r="1" spans="1:12" ht="17" thickBot="1" x14ac:dyDescent="0.25">
      <c r="A1" s="1">
        <v>0.76</v>
      </c>
      <c r="B1" s="2">
        <v>0.23</v>
      </c>
      <c r="C1" s="2">
        <v>0.28999999999999998</v>
      </c>
      <c r="D1" s="5">
        <v>0.34599999999999997</v>
      </c>
      <c r="E1" s="2">
        <v>0.06</v>
      </c>
    </row>
    <row r="2" spans="1:12" ht="17" thickBot="1" x14ac:dyDescent="0.25">
      <c r="A2" s="3">
        <v>0.61</v>
      </c>
      <c r="B2" s="4">
        <v>0.04</v>
      </c>
      <c r="C2" s="4">
        <v>0.03</v>
      </c>
      <c r="D2" s="6">
        <v>2.8400000000000002E-2</v>
      </c>
      <c r="E2" s="4">
        <v>0.21</v>
      </c>
      <c r="G2" s="7">
        <v>40</v>
      </c>
      <c r="H2" s="7">
        <v>0.5</v>
      </c>
      <c r="I2" s="1">
        <v>43.45</v>
      </c>
      <c r="J2" s="2">
        <v>0.45700000000000002</v>
      </c>
      <c r="K2">
        <f>((I2-G2)/G2)*100</f>
        <v>8.6250000000000071</v>
      </c>
      <c r="L2">
        <f>((H2-J2)/H2)*100</f>
        <v>8.5999999999999961</v>
      </c>
    </row>
    <row r="3" spans="1:12" ht="17" thickBot="1" x14ac:dyDescent="0.25">
      <c r="A3" s="3">
        <v>0.72</v>
      </c>
      <c r="B3" s="4">
        <v>0.02</v>
      </c>
      <c r="C3" s="4">
        <v>0.01</v>
      </c>
      <c r="D3" s="6">
        <v>1.4200000000000001E-2</v>
      </c>
      <c r="E3" s="4">
        <v>0.14000000000000001</v>
      </c>
      <c r="G3" s="7">
        <v>40</v>
      </c>
      <c r="H3" s="7">
        <v>1</v>
      </c>
      <c r="I3" s="3">
        <v>43.22</v>
      </c>
      <c r="J3" s="4">
        <v>0.92300000000000004</v>
      </c>
      <c r="K3">
        <f t="shared" ref="K3:K13" si="0">((I3-G3)/G3)*100</f>
        <v>8.0499999999999972</v>
      </c>
      <c r="L3">
        <f t="shared" ref="L3:L13" si="1">((H3-J3)/H3)*100</f>
        <v>7.6999999999999957</v>
      </c>
    </row>
    <row r="4" spans="1:12" ht="17" thickBot="1" x14ac:dyDescent="0.25">
      <c r="A4" s="3">
        <v>0.71</v>
      </c>
      <c r="B4" s="4">
        <v>0.03</v>
      </c>
      <c r="C4" s="4">
        <v>0.02</v>
      </c>
      <c r="D4" s="6">
        <v>9.7999999999999997E-3</v>
      </c>
      <c r="E4" s="4">
        <v>0.14000000000000001</v>
      </c>
      <c r="G4" s="7">
        <v>40</v>
      </c>
      <c r="H4" s="7">
        <v>1.5</v>
      </c>
      <c r="I4" s="3">
        <v>43.07</v>
      </c>
      <c r="J4" s="8">
        <v>1.425</v>
      </c>
      <c r="K4">
        <f t="shared" si="0"/>
        <v>7.6750000000000016</v>
      </c>
      <c r="L4">
        <f t="shared" si="1"/>
        <v>4.9999999999999964</v>
      </c>
    </row>
    <row r="5" spans="1:12" ht="17" thickBot="1" x14ac:dyDescent="0.25">
      <c r="A5" s="3">
        <v>0.71</v>
      </c>
      <c r="B5" s="4">
        <v>0.04</v>
      </c>
      <c r="C5" s="4">
        <v>0.02</v>
      </c>
      <c r="D5" s="6">
        <v>1.95E-2</v>
      </c>
      <c r="E5" s="4">
        <v>0.14000000000000001</v>
      </c>
      <c r="G5" s="7">
        <v>40</v>
      </c>
      <c r="H5" s="7">
        <v>2</v>
      </c>
      <c r="I5" s="3">
        <v>43.18</v>
      </c>
      <c r="J5" s="8">
        <v>1.641</v>
      </c>
      <c r="K5">
        <f t="shared" si="0"/>
        <v>7.9499999999999984</v>
      </c>
      <c r="L5">
        <f t="shared" si="1"/>
        <v>17.95</v>
      </c>
    </row>
    <row r="6" spans="1:12" ht="17" thickBot="1" x14ac:dyDescent="0.25">
      <c r="A6" s="3">
        <v>0.71</v>
      </c>
      <c r="B6" s="4">
        <v>0.06</v>
      </c>
      <c r="C6" s="4">
        <v>0.05</v>
      </c>
      <c r="D6" s="6">
        <v>0.19800000000000001</v>
      </c>
      <c r="E6" s="4">
        <v>0.09</v>
      </c>
      <c r="G6" s="7">
        <v>80</v>
      </c>
      <c r="H6" s="7">
        <v>0.5</v>
      </c>
      <c r="I6" s="3">
        <v>86.16</v>
      </c>
      <c r="J6" s="8">
        <v>0.47</v>
      </c>
      <c r="K6">
        <f t="shared" si="0"/>
        <v>7.6999999999999957</v>
      </c>
      <c r="L6">
        <f t="shared" si="1"/>
        <v>6.0000000000000053</v>
      </c>
    </row>
    <row r="7" spans="1:12" ht="17" thickBot="1" x14ac:dyDescent="0.25">
      <c r="A7" s="3">
        <v>0.72</v>
      </c>
      <c r="B7" s="4">
        <v>0.06</v>
      </c>
      <c r="C7" s="4">
        <v>0.04</v>
      </c>
      <c r="D7" s="6">
        <v>0.2034</v>
      </c>
      <c r="E7" s="4">
        <v>0.11</v>
      </c>
      <c r="G7" s="7">
        <v>80</v>
      </c>
      <c r="H7" s="7">
        <v>1</v>
      </c>
      <c r="I7" s="3">
        <v>87.18</v>
      </c>
      <c r="J7" s="8">
        <v>0.92</v>
      </c>
      <c r="K7">
        <f t="shared" si="0"/>
        <v>8.9750000000000085</v>
      </c>
      <c r="L7">
        <f t="shared" si="1"/>
        <v>7.9999999999999964</v>
      </c>
    </row>
    <row r="8" spans="1:12" ht="17" thickBot="1" x14ac:dyDescent="0.25">
      <c r="A8" s="3">
        <v>0.66</v>
      </c>
      <c r="B8" s="4">
        <v>0.08</v>
      </c>
      <c r="C8" s="4">
        <v>7.0000000000000007E-2</v>
      </c>
      <c r="D8" s="6">
        <v>0.1235</v>
      </c>
      <c r="E8" s="4">
        <v>0.04</v>
      </c>
      <c r="G8" s="7">
        <v>80</v>
      </c>
      <c r="H8" s="7">
        <v>1.5</v>
      </c>
      <c r="I8" s="3">
        <v>87.09</v>
      </c>
      <c r="J8" s="8">
        <v>1.387</v>
      </c>
      <c r="K8">
        <f t="shared" si="0"/>
        <v>8.8625000000000043</v>
      </c>
      <c r="L8">
        <f t="shared" si="1"/>
        <v>7.5333333333333323</v>
      </c>
    </row>
    <row r="9" spans="1:12" ht="17" thickBot="1" x14ac:dyDescent="0.25">
      <c r="A9" s="3">
        <v>0.67</v>
      </c>
      <c r="B9" s="4">
        <v>0.1</v>
      </c>
      <c r="C9" s="4">
        <v>0.11</v>
      </c>
      <c r="D9" s="6">
        <v>0.17169999999999999</v>
      </c>
      <c r="E9" s="4">
        <v>0.05</v>
      </c>
      <c r="G9" s="7">
        <v>80</v>
      </c>
      <c r="H9" s="7">
        <v>2</v>
      </c>
      <c r="I9" s="3">
        <v>86.8</v>
      </c>
      <c r="J9" s="8">
        <v>1.67</v>
      </c>
      <c r="K9">
        <f t="shared" si="0"/>
        <v>8.4999999999999964</v>
      </c>
      <c r="L9">
        <f t="shared" si="1"/>
        <v>16.500000000000004</v>
      </c>
    </row>
    <row r="10" spans="1:12" ht="17" thickBot="1" x14ac:dyDescent="0.25">
      <c r="A10" s="3">
        <v>0.68</v>
      </c>
      <c r="B10" s="4">
        <v>0.14000000000000001</v>
      </c>
      <c r="C10" s="4">
        <v>0.19</v>
      </c>
      <c r="D10" s="6">
        <v>0.35089999999999999</v>
      </c>
      <c r="E10" s="4">
        <v>0.04</v>
      </c>
      <c r="G10" s="7">
        <v>120</v>
      </c>
      <c r="H10" s="7">
        <v>0.5</v>
      </c>
      <c r="I10" s="3">
        <v>128.65</v>
      </c>
      <c r="J10" s="8">
        <v>0.45100000000000001</v>
      </c>
      <c r="K10">
        <f t="shared" si="0"/>
        <v>7.2083333333333375</v>
      </c>
      <c r="L10">
        <f t="shared" si="1"/>
        <v>9.7999999999999972</v>
      </c>
    </row>
    <row r="11" spans="1:12" ht="17" thickBot="1" x14ac:dyDescent="0.25">
      <c r="A11" s="3">
        <v>0.67</v>
      </c>
      <c r="B11" s="4">
        <v>0.11</v>
      </c>
      <c r="C11" s="4">
        <v>0.14000000000000001</v>
      </c>
      <c r="D11" s="6">
        <v>0.1895</v>
      </c>
      <c r="E11" s="4">
        <v>0.04</v>
      </c>
      <c r="G11" s="7">
        <v>120</v>
      </c>
      <c r="H11" s="7">
        <v>1</v>
      </c>
      <c r="I11" s="3">
        <v>128.79</v>
      </c>
      <c r="J11" s="8">
        <v>0.91800000000000004</v>
      </c>
      <c r="K11">
        <f t="shared" si="0"/>
        <v>7.324999999999994</v>
      </c>
      <c r="L11">
        <f t="shared" si="1"/>
        <v>8.1999999999999957</v>
      </c>
    </row>
    <row r="12" spans="1:12" ht="17" thickBot="1" x14ac:dyDescent="0.25">
      <c r="A12" s="3">
        <v>0.69</v>
      </c>
      <c r="B12" s="4">
        <v>0.05</v>
      </c>
      <c r="C12" s="4">
        <v>0.04</v>
      </c>
      <c r="D12" s="6">
        <v>0.1104</v>
      </c>
      <c r="E12" s="4">
        <v>0.06</v>
      </c>
      <c r="G12" s="7">
        <v>120</v>
      </c>
      <c r="H12" s="7">
        <v>1.5</v>
      </c>
      <c r="I12" s="3">
        <v>128.69</v>
      </c>
      <c r="J12" s="8">
        <v>1.387</v>
      </c>
      <c r="K12">
        <f t="shared" si="0"/>
        <v>7.2416666666666645</v>
      </c>
      <c r="L12">
        <f t="shared" si="1"/>
        <v>7.5333333333333323</v>
      </c>
    </row>
    <row r="13" spans="1:12" ht="17" thickBot="1" x14ac:dyDescent="0.25">
      <c r="A13" s="3">
        <v>0.69</v>
      </c>
      <c r="B13" s="4">
        <v>0.05</v>
      </c>
      <c r="C13" s="4">
        <v>0.03</v>
      </c>
      <c r="D13" s="6">
        <v>9.0499999999999997E-2</v>
      </c>
      <c r="E13" s="4">
        <v>0.05</v>
      </c>
      <c r="G13" s="7">
        <v>120</v>
      </c>
      <c r="H13" s="7">
        <v>2</v>
      </c>
      <c r="I13" s="3">
        <v>129.25</v>
      </c>
      <c r="J13" s="8">
        <v>1.6819999999999999</v>
      </c>
      <c r="K13">
        <f t="shared" si="0"/>
        <v>7.7083333333333339</v>
      </c>
      <c r="L13">
        <f t="shared" si="1"/>
        <v>15.900000000000002</v>
      </c>
    </row>
    <row r="14" spans="1:12" ht="17" thickBot="1" x14ac:dyDescent="0.25">
      <c r="A14" s="3">
        <v>0.65</v>
      </c>
      <c r="B14" s="4">
        <v>0.21</v>
      </c>
      <c r="C14" s="4">
        <v>0.25</v>
      </c>
      <c r="D14" s="6">
        <v>0.3125</v>
      </c>
      <c r="E14" s="4">
        <v>0.05</v>
      </c>
    </row>
    <row r="15" spans="1:12" ht="17" thickBot="1" x14ac:dyDescent="0.25">
      <c r="A15" s="3">
        <v>0.78</v>
      </c>
      <c r="B15" s="4">
        <v>0.16</v>
      </c>
      <c r="C15" s="4">
        <v>0.18</v>
      </c>
      <c r="D15" s="6">
        <v>0.53149999999999997</v>
      </c>
      <c r="E15" s="4">
        <v>0.05</v>
      </c>
      <c r="I15" s="9">
        <v>5.8650000000000002</v>
      </c>
      <c r="J15" s="10">
        <v>1.8</v>
      </c>
      <c r="K15">
        <f>ABS((J15-I15)/I15)</f>
        <v>0.69309462915601028</v>
      </c>
      <c r="L15">
        <f>K15*100</f>
        <v>69.309462915601031</v>
      </c>
    </row>
    <row r="16" spans="1:12" ht="17" thickBot="1" x14ac:dyDescent="0.25">
      <c r="A16">
        <f>AVERAGE(A1:A15)</f>
        <v>0.69533333333333325</v>
      </c>
      <c r="B16">
        <f>AVERAGE(B1:B15)</f>
        <v>9.1999999999999998E-2</v>
      </c>
      <c r="C16">
        <f>AVERAGE(C1:C15)</f>
        <v>9.8000000000000004E-2</v>
      </c>
      <c r="D16">
        <f>AVERAGE(D1:D15)</f>
        <v>0.17998666666666666</v>
      </c>
      <c r="E16">
        <f>AVERAGE(E1:E15)</f>
        <v>8.4666666666666682E-2</v>
      </c>
      <c r="I16" s="11">
        <v>781.75</v>
      </c>
      <c r="J16" s="12">
        <v>788</v>
      </c>
      <c r="K16">
        <f t="shared" ref="K16:K24" si="2">ABS((J16-I16)/I16)</f>
        <v>7.9948832747041895E-3</v>
      </c>
      <c r="L16">
        <f t="shared" ref="L16:L24" si="3">K16*100</f>
        <v>0.79948832747041898</v>
      </c>
    </row>
    <row r="17" spans="9:12" ht="17" thickBot="1" x14ac:dyDescent="0.25">
      <c r="I17" s="11">
        <v>84.68</v>
      </c>
      <c r="J17" s="12">
        <v>86.08</v>
      </c>
      <c r="K17">
        <f t="shared" si="2"/>
        <v>1.6532829475673021E-2</v>
      </c>
      <c r="L17">
        <f t="shared" si="3"/>
        <v>1.6532829475673021</v>
      </c>
    </row>
    <row r="18" spans="9:12" ht="17" thickBot="1" x14ac:dyDescent="0.25">
      <c r="I18" s="11">
        <v>0.21</v>
      </c>
      <c r="J18" s="12">
        <v>0.41</v>
      </c>
      <c r="K18">
        <f t="shared" si="2"/>
        <v>0.95238095238095233</v>
      </c>
      <c r="L18">
        <f t="shared" si="3"/>
        <v>95.238095238095227</v>
      </c>
    </row>
    <row r="19" spans="9:12" ht="17" thickBot="1" x14ac:dyDescent="0.25">
      <c r="I19" s="11">
        <v>5.04</v>
      </c>
      <c r="J19" s="12">
        <v>5.17</v>
      </c>
      <c r="K19">
        <f t="shared" si="2"/>
        <v>2.5793650793650771E-2</v>
      </c>
      <c r="L19">
        <f t="shared" si="3"/>
        <v>2.5793650793650773</v>
      </c>
    </row>
    <row r="20" spans="9:12" ht="17" thickBot="1" x14ac:dyDescent="0.25">
      <c r="I20" s="11">
        <v>0.14000000000000001</v>
      </c>
      <c r="J20" s="12">
        <v>7.6999999999999999E-2</v>
      </c>
      <c r="K20">
        <f t="shared" si="2"/>
        <v>0.45000000000000007</v>
      </c>
      <c r="L20">
        <f t="shared" si="3"/>
        <v>45.000000000000007</v>
      </c>
    </row>
    <row r="21" spans="9:12" ht="17" thickBot="1" x14ac:dyDescent="0.25">
      <c r="I21" s="11">
        <v>7.0000000000000007E-2</v>
      </c>
      <c r="J21" s="12">
        <v>7.3999999999999996E-2</v>
      </c>
      <c r="K21">
        <f t="shared" si="2"/>
        <v>5.7142857142856988E-2</v>
      </c>
      <c r="L21">
        <f t="shared" si="3"/>
        <v>5.7142857142856984</v>
      </c>
    </row>
    <row r="22" spans="9:12" ht="17" thickBot="1" x14ac:dyDescent="0.25">
      <c r="I22" s="11">
        <v>0.03</v>
      </c>
      <c r="J22" s="12">
        <v>4.1000000000000002E-2</v>
      </c>
      <c r="K22">
        <f t="shared" si="2"/>
        <v>0.36666666666666675</v>
      </c>
      <c r="L22">
        <f t="shared" si="3"/>
        <v>36.666666666666679</v>
      </c>
    </row>
    <row r="23" spans="9:12" ht="17" thickBot="1" x14ac:dyDescent="0.25">
      <c r="I23" s="11">
        <v>0.15</v>
      </c>
      <c r="J23" s="12">
        <v>0.08</v>
      </c>
      <c r="K23">
        <f t="shared" si="2"/>
        <v>0.46666666666666662</v>
      </c>
      <c r="L23">
        <f t="shared" si="3"/>
        <v>46.666666666666664</v>
      </c>
    </row>
    <row r="24" spans="9:12" ht="17" thickBot="1" x14ac:dyDescent="0.25">
      <c r="I24" s="11">
        <v>0.7</v>
      </c>
      <c r="J24" s="12">
        <v>0.69</v>
      </c>
      <c r="K24">
        <f t="shared" si="2"/>
        <v>1.4285714285714299E-2</v>
      </c>
      <c r="L24">
        <f t="shared" si="3"/>
        <v>1.4285714285714299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alstanlin@gmail.com</dc:creator>
  <cp:lastModifiedBy>alstanlin@gmail.com</cp:lastModifiedBy>
  <dcterms:created xsi:type="dcterms:W3CDTF">2026-06-16T09:37:09Z</dcterms:created>
  <dcterms:modified xsi:type="dcterms:W3CDTF">2026-06-18T04:44:41Z</dcterms:modified>
</cp:coreProperties>
</file>